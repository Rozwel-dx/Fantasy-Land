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<sst xmlns="http://schemas.openxmlformats.org/spreadsheetml/2006/main" count="40" uniqueCount="40">
  <si>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 xml:space="preserve">  </t>
  </si>
  <si>
    <t xml:space="preserve">模型名称</t>
  </si>
  <si>
    <t xml:space="preserve">切分策略</t>
  </si>
  <si>
    <t xml:space="preserve">输入</t>
  </si>
  <si>
    <t xml:space="preserve">输出</t>
  </si>
  <si>
    <t xml:space="preserve">max-num-batched-tokens</t>
  </si>
  <si>
    <t xml:space="preserve">batch_size</t>
  </si>
  <si>
    <t xml:space="preserve">Concurrency</t>
  </si>
  <si>
    <t xml:space="preserve">QPS</t>
  </si>
  <si>
    <t xml:space="preserve">吞吐</t>
  </si>
  <si>
    <t xml:space="preserve">单卡吞吐</t>
  </si>
  <si>
    <t xml:space="preserve">TTFT</t>
  </si>
  <si>
    <t xml:space="preserve">TPOT</t>
  </si>
  <si>
    <t xml:space="preserve">命令</t>
  </si>
  <si>
    <t xml:space="preserve">TP</t>
  </si>
  <si>
    <t xml:space="preserve">PP</t>
  </si>
  <si>
    <t xml:space="preserve">DP</t>
  </si>
  <si>
    <t xml:space="preserve">EP</t>
  </si>
  <si>
    <t xml:space="preserve">deepseek-ai/DeepSeek-R1</t>
  </si>
  <si>
    <t xml:space="preserve">E:\msmodeling\.venv\Scripts\python.exe -m cli.inference.throughput_optimizer deepseek-ai/DeepSeek-R1 --device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</si>
  <si>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</si>
  <si>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</si>
  <si>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E:\msmodeling\.venv\Scripts\python.exe -m cli.inference.throughput_optimizer deepseek-ai/DeepSeek-R1 --device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</si>
  <si>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</si>
  <si>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</si>
  <si>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zai-org/GLM-5.1</t>
  </si>
  <si>
    <t xml:space="preserve">E:\msmodeling\.venv\Scripts\python.exe -m cli.inference.throughput_optimizer zai-org/GLM-5.1 --device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</si>
  <si>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</si>
  <si>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</si>
  <si>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E:\msmodeling\.venv\Scripts\python.exe -m cli.inference.throughput_optimizer zai-org/GLM-5.1 --device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</si>
  <si>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</si>
  <si>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</si>
  <si>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deepseek-ai/DeepSeek-V4-Flash</t>
  </si>
  <si>
    <t xml:space="preserve">Qwen/Qwen3.5-397B-A17B-FP8</t>
  </si>
  <si>
    <t xml:space="preserve">C:\MySelf\MyCode\msmodeling\.venv\Scripts\python.exe -m cli.inference.throughput_optimizer deepseek-ai/DeepSeek-V4-Flash --device ATLAS_800_A3_560T_128G_DIE --num-devices 16 --input-length 3500 --output-length 1500 --compile --enable-multistream --quantize-linear-action W8A8_DYNAMIC --quantize-attention-action DISABLED --tpot-limits 50.0 --tp-sizes 1 --ep-sizes 16 --batch-range 1 512 --jobs 60 --disagg --max-batched-tokens 160</t>
  </si>
  <si>
    <t xml:space="preserve">dsv4基线</t>
  </si>
  <si>
    <t xml:space="preserve">dsv4仿真-无mtp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</si>
  <si>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--max-batched-tokens 120</t>
  </si>
  <si>
    <t xml:space="preserve">dsv4仿真-有mtp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</si>
  <si>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--num-mtp-tokens 1 --mtp-acceptance-rate 0.9 0.6 0.4 0.2 --max-batched-tokens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</si>
</sst>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1"/>
      <color rgb="FFFF0000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b val="true"/>
      <sz val="10"/>
      <color rgb="FF000000"/>
      <name val="等线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6C6AC"/>
        <bgColor/>
      </patternFill>
    </fill>
    <fill>
      <patternFill patternType="solid">
        <fgColor rgb="FFDBEDD5"/>
        <bgColor/>
      </patternFill>
    </fill>
    <fill>
      <patternFill patternType="solid">
        <fgColor rgb="FFDAF2D0"/>
        <bgColor/>
      </patternFill>
    </fill>
    <fill>
      <patternFill patternType="solid">
        <fgColor rgb="FFCEEBF6"/>
        <bgColor/>
      </patternFill>
    </fill>
    <fill>
      <patternFill patternType="solid">
        <fgColor rgb="FFE8E8E8"/>
        <bgColor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RGB(0, 0, 0)"/>
      </left>
      <right style="thin">
        <color rgb="FFRGB(0, 0, 0)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3" fillId="2" fontId="2" numFmtId="0" xfId="0">
      <alignment horizontal="center" vertical="center"/>
    </xf>
    <xf applyAlignment="true" applyBorder="false" applyFill="true" applyFont="true" applyNumberFormat="false" applyProtection="false" borderId="4" fillId="2" fontId="2" numFmtId="0" xfId="0">
      <alignment horizontal="center" vertical="center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 wrapText="true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6" fillId="4" fontId="3" numFmtId="0" xfId="0">
      <alignment horizontal="center" vertical="center"/>
    </xf>
    <xf applyAlignment="true" applyBorder="false" applyFill="true" applyFont="true" applyNumberFormat="false" applyProtection="false" borderId="5" fillId="5" fontId="2" numFmtId="0" xfId="0">
      <alignment horizontal="center" vertical="center"/>
    </xf>
    <xf applyAlignment="true" applyBorder="false" applyFill="true" applyFont="true" applyNumberFormat="false" applyProtection="false" borderId="7" fillId="2" fontId="2" numFmtId="0" xfId="0">
      <alignment horizontal="center" vertical="center"/>
    </xf>
    <xf applyAlignment="true" applyBorder="false" applyFill="true" applyFont="true" applyNumberFormat="false" applyProtection="false" borderId="7" fillId="3" fontId="2" numFmtId="0" xfId="0">
      <alignment horizontal="center" vertical="center"/>
    </xf>
    <xf applyAlignment="true" applyBorder="false" applyFill="true" applyFont="true" applyNumberFormat="false" applyProtection="false" borderId="7" fillId="5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8" fillId="0" fontId="4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1" fillId="6" fontId="2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bottom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3" numFmtId="0" xfId="0">
      <alignment horizontal="right" vertical="bottom"/>
    </xf>
    <xf applyAlignment="true" applyBorder="false" applyFill="false" applyFont="true" applyNumberFormat="false" applyProtection="false" borderId="14" fillId="0" fontId="4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16" fillId="0" fontId="7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right" vertical="bottom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1" min="11" style="0" width="14"/>
    <col collapsed="false" customWidth="true" hidden="false" max="13" min="13" style="0" width="14"/>
    <col collapsed="false" customWidth="true" hidden="true" max="13" min="13" style="0" width="14"/>
    <col collapsed="false" customWidth="true" hidden="false" max="1" min="1" style="0" width="27"/>
    <col collapsed="false" customWidth="true" hidden="false" max="8" min="8" style="0" width="14"/>
  </cols>
  <sheetData>
    <row customHeight="true" ht="15" r="1">
      <c r="A1" s="1" t="s">
        <v>1</v>
      </c>
      <c r="B1" s="2" t="s">
        <v>2</v>
      </c>
      <c r="C1" s="3"/>
      <c r="D1" s="3"/>
      <c r="E1" s="4"/>
      <c r="F1" s="5" t="s">
        <v>3</v>
      </c>
      <c r="G1" s="5" t="s">
        <v>4</v>
      </c>
      <c r="H1" s="6" t="s">
        <v>5</v>
      </c>
      <c r="I1" s="7" t="s">
        <v>6</v>
      </c>
      <c r="J1" s="7" t="s">
        <v>7</v>
      </c>
      <c r="K1" s="7" t="s">
        <v>8</v>
      </c>
      <c r="L1" s="8" t="s">
        <v>9</v>
      </c>
      <c r="M1" s="9" t="s">
        <v>10</v>
      </c>
      <c r="N1" s="8" t="s">
        <v>11</v>
      </c>
      <c r="O1" s="8" t="s">
        <v>12</v>
      </c>
      <c r="P1" s="10" t="s">
        <v>13</v>
      </c>
    </row>
    <row customHeight="true" ht="29" r="2">
      <c r="A2" s="1"/>
      <c r="B2" s="1" t="s">
        <v>14</v>
      </c>
      <c r="C2" s="1" t="s">
        <v>15</v>
      </c>
      <c r="D2" s="1" t="s">
        <v>16</v>
      </c>
      <c r="E2" s="1" t="s">
        <v>17</v>
      </c>
      <c r="F2" s="11"/>
      <c r="G2" s="11"/>
      <c r="H2" s="6"/>
      <c r="I2" s="12"/>
      <c r="J2" s="12"/>
      <c r="K2" s="7"/>
      <c r="L2" s="12"/>
      <c r="M2" s="9"/>
      <c r="N2" s="12"/>
      <c r="O2" s="12"/>
      <c r="P2" s="13"/>
    </row>
    <row customHeight="true" ht="15" r="3">
      <c r="A3" s="14" t="s">
        <v>18</v>
      </c>
      <c r="B3" s="14">
        <v>8</v>
      </c>
      <c r="C3" s="14">
        <v>1</v>
      </c>
      <c r="D3" s="15">
        <v>8</v>
      </c>
      <c r="E3" s="16">
        <v>64</v>
      </c>
      <c r="F3" s="14">
        <v>3500</v>
      </c>
      <c r="G3" s="14">
        <v>1500</v>
      </c>
      <c r="H3" s="15">
        <v>8192</v>
      </c>
      <c r="I3" s="14">
        <v>75</v>
      </c>
      <c r="J3" s="14">
        <v>600</v>
      </c>
      <c r="K3" s="15"/>
      <c r="L3" s="14">
        <v>12005.81</v>
      </c>
      <c r="M3" s="17">
        <f t="shared" ref="M3:M5" si="0">L3/E3*2</f>
      </c>
      <c r="N3" s="14">
        <v>0</v>
      </c>
      <c r="O3" s="18">
        <v>49.98</v>
      </c>
      <c r="P3" s="14" t="s">
        <v>19</v>
      </c>
    </row>
    <row customHeight="true" ht="15" r="4">
      <c r="A4" s="14"/>
      <c r="B4" s="14">
        <v>8</v>
      </c>
      <c r="C4" s="14">
        <v>1</v>
      </c>
      <c r="D4" s="15">
        <v>4</v>
      </c>
      <c r="E4" s="16">
        <v>32</v>
      </c>
      <c r="F4" s="14">
        <v>3500</v>
      </c>
      <c r="G4" s="14">
        <v>1500</v>
      </c>
      <c r="H4" s="15">
        <v>8192</v>
      </c>
      <c r="I4" s="14">
        <v>46</v>
      </c>
      <c r="J4" s="14">
        <v>184</v>
      </c>
      <c r="K4" s="15"/>
      <c r="L4" s="14">
        <v>3683.14</v>
      </c>
      <c r="M4" s="17">
        <f t="shared" si="0"/>
      </c>
      <c r="N4" s="14">
        <v>0</v>
      </c>
      <c r="O4" s="18">
        <v>49.96</v>
      </c>
      <c r="P4" s="14" t="s">
        <v>20</v>
      </c>
    </row>
    <row customHeight="true" ht="15" r="5">
      <c r="A5" s="14"/>
      <c r="B5" s="14">
        <v>8</v>
      </c>
      <c r="C5" s="14">
        <v>1</v>
      </c>
      <c r="D5" s="15">
        <v>2</v>
      </c>
      <c r="E5" s="16">
        <v>16</v>
      </c>
      <c r="F5" s="14">
        <v>3500</v>
      </c>
      <c r="G5" s="14">
        <v>1500</v>
      </c>
      <c r="H5" s="15">
        <v>8192</v>
      </c>
      <c r="I5" s="14">
        <v>4</v>
      </c>
      <c r="J5" s="14">
        <v>16</v>
      </c>
      <c r="K5" s="15"/>
      <c r="L5" s="14">
        <v>448.47</v>
      </c>
      <c r="M5" s="17">
        <f t="shared" si="0"/>
      </c>
      <c r="N5" s="14">
        <v>0</v>
      </c>
      <c r="O5" s="19">
        <v>35.76</v>
      </c>
      <c r="P5" s="14" t="s">
        <v>21</v>
      </c>
    </row>
    <row customHeight="true" ht="15" r="6">
      <c r="A6" s="15"/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7"/>
      <c r="N6" s="15"/>
      <c r="O6" s="15"/>
      <c r="P6" s="15"/>
    </row>
    <row customHeight="true" ht="15" r="7">
      <c r="A7" s="14"/>
      <c r="B7" s="14">
        <v>8</v>
      </c>
      <c r="C7" s="14">
        <v>1</v>
      </c>
      <c r="D7" s="15">
        <v>8</v>
      </c>
      <c r="E7" s="16">
        <v>64</v>
      </c>
      <c r="F7" s="14">
        <v>4096</v>
      </c>
      <c r="G7" s="14">
        <v>1024</v>
      </c>
      <c r="H7" s="15">
        <v>8192</v>
      </c>
      <c r="I7" s="14">
        <v>69</v>
      </c>
      <c r="J7" s="14">
        <v>552</v>
      </c>
      <c r="K7" s="15"/>
      <c r="L7" s="14">
        <v>11113.81</v>
      </c>
      <c r="M7" s="17">
        <f t="shared" ref="M7:M13" si="1">L7/E7*2</f>
      </c>
      <c r="N7" s="14">
        <v>0</v>
      </c>
      <c r="O7" s="14">
        <v>49.67</v>
      </c>
      <c r="P7" s="14" t="s">
        <v>22</v>
      </c>
    </row>
    <row customHeight="true" ht="15" r="8">
      <c r="A8" s="14"/>
      <c r="B8" s="14">
        <v>8</v>
      </c>
      <c r="C8" s="14">
        <v>1</v>
      </c>
      <c r="D8" s="15">
        <v>4</v>
      </c>
      <c r="E8" s="16">
        <v>32</v>
      </c>
      <c r="F8" s="14">
        <v>4096</v>
      </c>
      <c r="G8" s="14">
        <v>1024</v>
      </c>
      <c r="H8" s="15">
        <v>8192</v>
      </c>
      <c r="I8" s="14">
        <v>42</v>
      </c>
      <c r="J8" s="14">
        <v>168</v>
      </c>
      <c r="K8" s="15"/>
      <c r="L8" s="14">
        <v>3378.76</v>
      </c>
      <c r="M8" s="17">
        <f t="shared" si="1"/>
      </c>
      <c r="N8" s="14">
        <v>0</v>
      </c>
      <c r="O8" s="14">
        <v>49.76</v>
      </c>
      <c r="P8" s="14" t="s">
        <v>23</v>
      </c>
    </row>
    <row customHeight="true" ht="15" r="9">
      <c r="A9" s="14"/>
      <c r="B9" s="14">
        <v>8</v>
      </c>
      <c r="C9" s="14">
        <v>1</v>
      </c>
      <c r="D9" s="15">
        <v>2</v>
      </c>
      <c r="E9" s="16">
        <v>16</v>
      </c>
      <c r="F9" s="14">
        <v>4096</v>
      </c>
      <c r="G9" s="14">
        <v>1024</v>
      </c>
      <c r="H9" s="15">
        <v>8192</v>
      </c>
      <c r="I9" s="14">
        <v>8</v>
      </c>
      <c r="J9" s="14">
        <v>16</v>
      </c>
      <c r="K9" s="15"/>
      <c r="L9" s="14">
        <v>451.27</v>
      </c>
      <c r="M9" s="17">
        <f t="shared" si="1"/>
      </c>
      <c r="N9" s="14">
        <v>0</v>
      </c>
      <c r="O9" s="19">
        <v>35.45</v>
      </c>
      <c r="P9" s="14" t="s">
        <v>24</v>
      </c>
    </row>
    <row customHeight="true" ht="15" r="10">
      <c r="A10" s="20"/>
      <c r="B10" s="20"/>
      <c r="C10" s="20"/>
      <c r="D10" s="20"/>
      <c r="E10" s="21"/>
      <c r="F10" s="20"/>
      <c r="G10" s="20"/>
      <c r="H10" s="22"/>
      <c r="I10" s="20"/>
      <c r="J10" s="20"/>
      <c r="K10" s="22"/>
      <c r="L10" s="20"/>
      <c r="M10" s="17">
        <f t="shared" si="1"/>
      </c>
      <c r="N10" s="20">
        <v>0</v>
      </c>
      <c r="O10" s="20"/>
      <c r="P10" s="20"/>
    </row>
    <row customHeight="true" ht="15" r="11">
      <c r="A11" s="14" t="s">
        <v>25</v>
      </c>
      <c r="B11" s="14">
        <v>8</v>
      </c>
      <c r="C11" s="14">
        <v>1</v>
      </c>
      <c r="D11" s="15">
        <v>8</v>
      </c>
      <c r="E11" s="16">
        <v>64</v>
      </c>
      <c r="F11" s="14">
        <v>3500</v>
      </c>
      <c r="G11" s="14">
        <v>1500</v>
      </c>
      <c r="H11" s="15">
        <v>8192</v>
      </c>
      <c r="I11" s="14">
        <v>79</v>
      </c>
      <c r="J11" s="14">
        <v>632</v>
      </c>
      <c r="K11" s="15"/>
      <c r="L11" s="14">
        <v>12676.61</v>
      </c>
      <c r="M11" s="17">
        <f t="shared" si="1"/>
      </c>
      <c r="N11" s="14">
        <v>0</v>
      </c>
      <c r="O11" s="18">
        <v>49.86</v>
      </c>
      <c r="P11" s="14" t="s">
        <v>26</v>
      </c>
    </row>
    <row customHeight="true" ht="15" r="12">
      <c r="A12" s="14"/>
      <c r="B12" s="14">
        <v>8</v>
      </c>
      <c r="C12" s="14">
        <v>1</v>
      </c>
      <c r="D12" s="15">
        <v>4</v>
      </c>
      <c r="E12" s="16">
        <v>32</v>
      </c>
      <c r="F12" s="14">
        <v>3500</v>
      </c>
      <c r="G12" s="14">
        <v>1500</v>
      </c>
      <c r="H12" s="15">
        <v>8192</v>
      </c>
      <c r="I12" s="14">
        <v>36</v>
      </c>
      <c r="J12" s="14">
        <v>144</v>
      </c>
      <c r="K12" s="15"/>
      <c r="L12" s="14">
        <v>2889.24</v>
      </c>
      <c r="M12" s="17">
        <f t="shared" si="1"/>
      </c>
      <c r="N12" s="14">
        <v>0</v>
      </c>
      <c r="O12" s="14">
        <v>49.84</v>
      </c>
      <c r="P12" s="14" t="s">
        <v>27</v>
      </c>
    </row>
    <row customHeight="true" ht="15" r="13">
      <c r="A13" s="14"/>
      <c r="B13" s="14">
        <v>8</v>
      </c>
      <c r="C13" s="14">
        <v>1</v>
      </c>
      <c r="D13" s="15">
        <v>2</v>
      </c>
      <c r="E13" s="16">
        <v>16</v>
      </c>
      <c r="F13" s="14">
        <v>3500</v>
      </c>
      <c r="G13" s="14">
        <v>1500</v>
      </c>
      <c r="H13" s="15">
        <v>8192</v>
      </c>
      <c r="I13" s="14">
        <v>8</v>
      </c>
      <c r="J13" s="14">
        <v>16</v>
      </c>
      <c r="K13" s="15"/>
      <c r="L13" s="14">
        <v>395.32</v>
      </c>
      <c r="M13" s="17">
        <f t="shared" si="1"/>
      </c>
      <c r="N13" s="14">
        <v>0</v>
      </c>
      <c r="O13" s="19">
        <v>40.47</v>
      </c>
      <c r="P13" s="14" t="s">
        <v>28</v>
      </c>
    </row>
    <row customHeight="true" ht="15" r="14">
      <c r="A14" s="15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7"/>
      <c r="N14" s="15"/>
      <c r="O14" s="15"/>
      <c r="P14" s="15"/>
    </row>
    <row customHeight="true" ht="15" r="15">
      <c r="A15" s="14"/>
      <c r="B15" s="14">
        <v>8</v>
      </c>
      <c r="C15" s="14">
        <v>1</v>
      </c>
      <c r="D15" s="15">
        <v>8</v>
      </c>
      <c r="E15" s="16">
        <v>64</v>
      </c>
      <c r="F15" s="14">
        <v>4096</v>
      </c>
      <c r="G15" s="14">
        <v>1024</v>
      </c>
      <c r="H15" s="15">
        <v>8192</v>
      </c>
      <c r="I15" s="14">
        <v>73</v>
      </c>
      <c r="J15" s="14">
        <v>584</v>
      </c>
      <c r="K15" s="15"/>
      <c r="L15" s="14">
        <v>12019.43</v>
      </c>
      <c r="M15" s="17">
        <f t="shared" ref="M15:M21" si="2">L15/E15*2</f>
      </c>
      <c r="N15" s="14">
        <v>0</v>
      </c>
      <c r="O15" s="14">
        <v>48.59</v>
      </c>
      <c r="P15" s="14" t="s">
        <v>29</v>
      </c>
    </row>
    <row customHeight="true" ht="15" r="16">
      <c r="A16" s="14"/>
      <c r="B16" s="14">
        <v>8</v>
      </c>
      <c r="C16" s="14">
        <v>1</v>
      </c>
      <c r="D16" s="15">
        <v>4</v>
      </c>
      <c r="E16" s="16">
        <v>32</v>
      </c>
      <c r="F16" s="14">
        <v>4096</v>
      </c>
      <c r="G16" s="14">
        <v>1024</v>
      </c>
      <c r="H16" s="15">
        <v>8192</v>
      </c>
      <c r="I16" s="14">
        <v>36</v>
      </c>
      <c r="J16" s="14">
        <v>144</v>
      </c>
      <c r="K16" s="15"/>
      <c r="L16" s="14">
        <v>2887.81</v>
      </c>
      <c r="M16" s="17">
        <f t="shared" si="2"/>
      </c>
      <c r="N16" s="14">
        <v>0</v>
      </c>
      <c r="O16" s="14">
        <v>49.87</v>
      </c>
      <c r="P16" s="14" t="s">
        <v>30</v>
      </c>
    </row>
    <row customHeight="true" ht="15" r="17">
      <c r="A17" s="14"/>
      <c r="B17" s="14">
        <v>8</v>
      </c>
      <c r="C17" s="14">
        <v>1</v>
      </c>
      <c r="D17" s="15">
        <v>2</v>
      </c>
      <c r="E17" s="16">
        <v>16</v>
      </c>
      <c r="F17" s="14">
        <v>4096</v>
      </c>
      <c r="G17" s="14">
        <v>1024</v>
      </c>
      <c r="H17" s="15">
        <v>8192</v>
      </c>
      <c r="I17" s="14">
        <v>7</v>
      </c>
      <c r="J17" s="14">
        <v>14</v>
      </c>
      <c r="K17" s="15"/>
      <c r="L17" s="14">
        <v>346.1</v>
      </c>
      <c r="M17" s="17">
        <f t="shared" si="2"/>
      </c>
      <c r="N17" s="14">
        <v>0</v>
      </c>
      <c r="O17" s="19">
        <v>40.45</v>
      </c>
      <c r="P17" s="14" t="s">
        <v>31</v>
      </c>
    </row>
    <row customHeight="true" ht="15" r="18">
      <c r="A18" s="23"/>
      <c r="B18" s="23"/>
      <c r="C18" s="23"/>
      <c r="D18" s="23"/>
      <c r="E18" s="24"/>
      <c r="F18" s="23"/>
      <c r="G18" s="25"/>
      <c r="H18" s="26"/>
      <c r="I18" s="27"/>
      <c r="J18" s="23"/>
      <c r="K18" s="23"/>
      <c r="L18" s="23"/>
      <c r="M18" s="17">
        <f t="shared" si="2"/>
      </c>
      <c r="N18" s="23">
        <v>0</v>
      </c>
      <c r="O18" s="23"/>
      <c r="P18" s="23"/>
    </row>
    <row customHeight="true" ht="15" r="19">
      <c r="A19" s="28" t="s">
        <v>32</v>
      </c>
      <c r="B19" s="26">
        <v>1</v>
      </c>
      <c r="C19" s="26">
        <v>1</v>
      </c>
      <c r="D19" s="29">
        <v>16</v>
      </c>
      <c r="E19" s="30">
        <v>16</v>
      </c>
      <c r="F19" s="29">
        <v>3500</v>
      </c>
      <c r="G19" s="31">
        <v>1500</v>
      </c>
      <c r="H19" s="29">
        <v>120</v>
      </c>
      <c r="I19" s="29">
        <v>85</v>
      </c>
      <c r="J19" s="32">
        <v>1360</v>
      </c>
      <c r="K19" s="29">
        <v>18.17</v>
      </c>
      <c r="L19" s="29">
        <v>27262.26</v>
      </c>
      <c r="M19" s="17">
        <f t="shared" si="2"/>
      </c>
      <c r="N19" s="26">
        <v>0</v>
      </c>
      <c r="O19" s="29">
        <v>49.89</v>
      </c>
      <c r="P19" s="26"/>
      <c r="Q19" s="33"/>
    </row>
    <row customHeight="true" ht="15" r="20">
      <c r="A20" s="26"/>
      <c r="B20" s="26">
        <v>1</v>
      </c>
      <c r="C20" s="26">
        <v>1</v>
      </c>
      <c r="D20" s="29">
        <v>32</v>
      </c>
      <c r="E20" s="30">
        <v>32</v>
      </c>
      <c r="F20" s="29">
        <v>3500</v>
      </c>
      <c r="G20" s="31">
        <v>1500</v>
      </c>
      <c r="H20" s="29">
        <v>112</v>
      </c>
      <c r="I20" s="29">
        <v>128</v>
      </c>
      <c r="J20" s="32">
        <v>4096</v>
      </c>
      <c r="K20" s="29">
        <v>55.08</v>
      </c>
      <c r="L20" s="29">
        <v>82613.14</v>
      </c>
      <c r="M20" s="17">
        <f t="shared" si="2"/>
      </c>
      <c r="N20" s="26">
        <v>0</v>
      </c>
      <c r="O20" s="29">
        <v>49.58</v>
      </c>
      <c r="P20" s="26"/>
      <c r="Q20" s="33"/>
    </row>
    <row customHeight="true" ht="15" r="21">
      <c r="A21" s="26"/>
      <c r="B21" s="26">
        <v>1</v>
      </c>
      <c r="C21" s="26">
        <v>1</v>
      </c>
      <c r="D21" s="29">
        <v>64</v>
      </c>
      <c r="E21" s="30">
        <v>64</v>
      </c>
      <c r="F21" s="29">
        <v>3500</v>
      </c>
      <c r="G21" s="31">
        <v>1500</v>
      </c>
      <c r="H21" s="29">
        <v>120</v>
      </c>
      <c r="I21" s="29">
        <v>128</v>
      </c>
      <c r="J21" s="32">
        <v>8192</v>
      </c>
      <c r="K21" s="29">
        <v>116.64</v>
      </c>
      <c r="L21" s="29">
        <v>174958.98</v>
      </c>
      <c r="M21" s="17">
        <f t="shared" si="2"/>
      </c>
      <c r="N21" s="26">
        <v>0</v>
      </c>
      <c r="O21" s="29">
        <v>46.82</v>
      </c>
      <c r="P21" s="26"/>
      <c r="Q21" s="33"/>
    </row>
    <row customHeight="true" ht="15" r="22">
      <c r="A22" s="26"/>
      <c r="B22" s="26"/>
      <c r="C22" s="26"/>
      <c r="D22" s="29"/>
      <c r="E22" s="30"/>
      <c r="F22" s="29"/>
      <c r="G22" s="31"/>
      <c r="H22" s="29"/>
      <c r="I22" s="29"/>
      <c r="J22" s="32"/>
      <c r="K22" s="29"/>
      <c r="L22" s="29"/>
      <c r="M22" s="17"/>
      <c r="N22" s="26"/>
      <c r="O22" s="29"/>
      <c r="P22" s="26"/>
      <c r="Q22" s="33"/>
    </row>
    <row customHeight="true" ht="15" r="23">
      <c r="A23" s="26"/>
      <c r="B23" s="26">
        <v>1</v>
      </c>
      <c r="C23" s="26">
        <v>1</v>
      </c>
      <c r="D23" s="29">
        <v>16</v>
      </c>
      <c r="E23" s="30">
        <v>16</v>
      </c>
      <c r="F23" s="29">
        <v>3500</v>
      </c>
      <c r="G23" s="31">
        <v>1500</v>
      </c>
      <c r="H23" s="29">
        <v>120</v>
      </c>
      <c r="I23" s="29">
        <v>1</v>
      </c>
      <c r="J23" s="32">
        <v>16</v>
      </c>
      <c r="K23" s="29">
        <v>0.39</v>
      </c>
      <c r="L23" s="29">
        <v>590.52</v>
      </c>
      <c r="M23" s="17">
        <f t="shared" ref="M23:M25" si="3">L23/E23*2</f>
      </c>
      <c r="N23" s="26">
        <v>0</v>
      </c>
      <c r="O23" s="29">
        <v>27.09</v>
      </c>
      <c r="P23" s="26"/>
      <c r="Q23" s="33"/>
    </row>
    <row customHeight="true" ht="15" r="24">
      <c r="A24" s="26"/>
      <c r="B24" s="26">
        <v>1</v>
      </c>
      <c r="C24" s="26">
        <v>1</v>
      </c>
      <c r="D24" s="29">
        <v>32</v>
      </c>
      <c r="E24" s="30">
        <v>32</v>
      </c>
      <c r="F24" s="29">
        <v>3500</v>
      </c>
      <c r="G24" s="31">
        <v>1500</v>
      </c>
      <c r="H24" s="29">
        <v>112</v>
      </c>
      <c r="I24" s="29">
        <v>1</v>
      </c>
      <c r="J24" s="32">
        <v>32</v>
      </c>
      <c r="K24" s="29">
        <v>0.74</v>
      </c>
      <c r="L24" s="29">
        <v>1112.73</v>
      </c>
      <c r="M24" s="17">
        <f t="shared" si="3"/>
      </c>
      <c r="N24" s="26">
        <v>0</v>
      </c>
      <c r="O24" s="29">
        <v>28.76</v>
      </c>
      <c r="P24" s="26"/>
      <c r="Q24" s="33"/>
    </row>
    <row customHeight="true" ht="15" r="25">
      <c r="A25" s="26"/>
      <c r="B25" s="26">
        <v>1</v>
      </c>
      <c r="C25" s="26">
        <v>1</v>
      </c>
      <c r="D25" s="29">
        <v>64</v>
      </c>
      <c r="E25" s="30">
        <v>64</v>
      </c>
      <c r="F25" s="29">
        <v>3500</v>
      </c>
      <c r="G25" s="31">
        <v>1500</v>
      </c>
      <c r="H25" s="29">
        <v>120</v>
      </c>
      <c r="I25" s="29">
        <v>23</v>
      </c>
      <c r="J25" s="32">
        <v>1472</v>
      </c>
      <c r="K25" s="29">
        <v>32.82</v>
      </c>
      <c r="L25" s="29">
        <v>49222.56</v>
      </c>
      <c r="M25" s="17">
        <f t="shared" si="3"/>
      </c>
      <c r="N25" s="26">
        <v>0</v>
      </c>
      <c r="O25" s="29">
        <v>29.91</v>
      </c>
      <c r="P25" s="26"/>
      <c r="Q25" s="33"/>
    </row>
    <row customHeight="true" ht="15" r="26">
      <c r="A26" s="26"/>
      <c r="B26" s="26"/>
      <c r="C26" s="26"/>
      <c r="D26" s="29"/>
      <c r="E26" s="30"/>
      <c r="F26" s="29"/>
      <c r="G26" s="31"/>
      <c r="H26" s="29"/>
      <c r="I26" s="29"/>
      <c r="J26" s="32"/>
      <c r="K26" s="29"/>
      <c r="L26" s="29"/>
      <c r="M26" s="17"/>
      <c r="N26" s="26"/>
      <c r="O26" s="29"/>
      <c r="P26" s="26"/>
      <c r="Q26" s="33"/>
    </row>
    <row customHeight="true" ht="15" r="27">
      <c r="A27" s="26"/>
      <c r="B27" s="26">
        <v>1</v>
      </c>
      <c r="C27" s="26">
        <v>1</v>
      </c>
      <c r="D27" s="29">
        <v>16</v>
      </c>
      <c r="E27" s="30">
        <v>16</v>
      </c>
      <c r="F27" s="29">
        <v>4096</v>
      </c>
      <c r="G27" s="31">
        <v>1024</v>
      </c>
      <c r="H27" s="29">
        <v>120</v>
      </c>
      <c r="I27" s="29">
        <v>85</v>
      </c>
      <c r="J27" s="32">
        <v>1360</v>
      </c>
      <c r="K27" s="29">
        <v>26.62</v>
      </c>
      <c r="L27" s="29">
        <v>27262.26</v>
      </c>
      <c r="M27" s="17">
        <f t="shared" ref="M27:M29" si="4">L27/E27*2</f>
      </c>
      <c r="N27" s="26">
        <v>0</v>
      </c>
      <c r="O27" s="29">
        <v>49.89</v>
      </c>
      <c r="P27" s="26"/>
      <c r="Q27" s="33"/>
    </row>
    <row customHeight="true" ht="15" r="28">
      <c r="A28" s="26"/>
      <c r="B28" s="26">
        <v>1</v>
      </c>
      <c r="C28" s="26">
        <v>1</v>
      </c>
      <c r="D28" s="29">
        <v>32</v>
      </c>
      <c r="E28" s="30">
        <v>32</v>
      </c>
      <c r="F28" s="29">
        <v>4096</v>
      </c>
      <c r="G28" s="31">
        <v>1024</v>
      </c>
      <c r="H28" s="29">
        <v>112</v>
      </c>
      <c r="I28" s="29">
        <v>128</v>
      </c>
      <c r="J28" s="32">
        <v>4096</v>
      </c>
      <c r="K28" s="29">
        <v>80.68</v>
      </c>
      <c r="L28" s="29">
        <v>82613.14</v>
      </c>
      <c r="M28" s="17">
        <f t="shared" si="4"/>
      </c>
      <c r="N28" s="26">
        <v>0</v>
      </c>
      <c r="O28" s="29">
        <v>49.58</v>
      </c>
      <c r="P28" s="26"/>
      <c r="Q28" s="33"/>
    </row>
    <row customHeight="true" ht="15" r="29">
      <c r="A29" s="26"/>
      <c r="B29" s="26">
        <v>1</v>
      </c>
      <c r="C29" s="26">
        <v>1</v>
      </c>
      <c r="D29" s="29">
        <v>16</v>
      </c>
      <c r="E29" s="30">
        <v>16</v>
      </c>
      <c r="F29" s="29">
        <v>4096</v>
      </c>
      <c r="G29" s="31">
        <v>1024</v>
      </c>
      <c r="H29" s="29">
        <v>120</v>
      </c>
      <c r="I29" s="29">
        <v>128</v>
      </c>
      <c r="J29" s="32">
        <v>8192</v>
      </c>
      <c r="K29" s="29">
        <v>170.86</v>
      </c>
      <c r="L29" s="29">
        <v>174958.98</v>
      </c>
      <c r="M29" s="17">
        <f t="shared" si="4"/>
      </c>
      <c r="N29" s="26">
        <v>0</v>
      </c>
      <c r="O29" s="29">
        <v>46.82</v>
      </c>
      <c r="P29" s="26"/>
      <c r="Q29" s="33"/>
    </row>
    <row customHeight="true" ht="15" r="30">
      <c r="A30" s="26"/>
      <c r="B30" s="26"/>
      <c r="C30" s="26"/>
      <c r="D30" s="29"/>
      <c r="E30" s="30"/>
      <c r="F30" s="29"/>
      <c r="G30" s="31"/>
      <c r="H30" s="29"/>
      <c r="I30" s="29"/>
      <c r="J30" s="32"/>
      <c r="K30" s="29"/>
      <c r="L30" s="29"/>
      <c r="M30" s="17"/>
      <c r="N30" s="26"/>
      <c r="O30" s="29"/>
      <c r="P30" s="26"/>
      <c r="Q30" s="33"/>
    </row>
    <row customHeight="true" ht="15" r="31">
      <c r="A31" s="26"/>
      <c r="B31" s="26">
        <v>1</v>
      </c>
      <c r="C31" s="26">
        <v>1</v>
      </c>
      <c r="D31" s="29">
        <v>16</v>
      </c>
      <c r="E31" s="30">
        <v>16</v>
      </c>
      <c r="F31" s="29">
        <v>4096</v>
      </c>
      <c r="G31" s="31">
        <v>1024</v>
      </c>
      <c r="H31" s="29">
        <v>120</v>
      </c>
      <c r="I31" s="29">
        <v>1</v>
      </c>
      <c r="J31" s="32">
        <v>16</v>
      </c>
      <c r="K31" s="29">
        <v>0.58</v>
      </c>
      <c r="L31" s="29">
        <v>590.52</v>
      </c>
      <c r="M31" s="17">
        <f t="shared" ref="M31:M33" si="5">L31/E31*2</f>
      </c>
      <c r="N31" s="26">
        <v>0</v>
      </c>
      <c r="O31" s="29">
        <v>27.09</v>
      </c>
      <c r="P31" s="26"/>
      <c r="Q31" s="33"/>
    </row>
    <row customHeight="true" ht="15" r="32">
      <c r="A32" s="26"/>
      <c r="B32" s="26">
        <v>1</v>
      </c>
      <c r="C32" s="26">
        <v>1</v>
      </c>
      <c r="D32" s="29">
        <v>32</v>
      </c>
      <c r="E32" s="30">
        <v>32</v>
      </c>
      <c r="F32" s="29">
        <v>4096</v>
      </c>
      <c r="G32" s="31">
        <v>1024</v>
      </c>
      <c r="H32" s="29">
        <v>112</v>
      </c>
      <c r="I32" s="29">
        <v>1</v>
      </c>
      <c r="J32" s="32">
        <v>32</v>
      </c>
      <c r="K32" s="29">
        <v>1.09</v>
      </c>
      <c r="L32" s="29">
        <v>1112.73</v>
      </c>
      <c r="M32" s="17">
        <f t="shared" si="5"/>
      </c>
      <c r="N32" s="26">
        <v>0</v>
      </c>
      <c r="O32" s="29">
        <v>28.76</v>
      </c>
      <c r="P32" s="26"/>
      <c r="Q32" s="33"/>
    </row>
    <row r="33">
      <c r="A33" s="34"/>
      <c r="B33" s="26">
        <v>1</v>
      </c>
      <c r="C33" s="26">
        <v>1</v>
      </c>
      <c r="D33" s="29">
        <v>64</v>
      </c>
      <c r="E33" s="30">
        <v>64</v>
      </c>
      <c r="F33" s="29">
        <v>4096</v>
      </c>
      <c r="G33" s="31">
        <v>1024</v>
      </c>
      <c r="H33" s="29">
        <v>120</v>
      </c>
      <c r="I33" s="29">
        <v>23</v>
      </c>
      <c r="J33" s="32">
        <v>1472</v>
      </c>
      <c r="K33" s="29">
        <v>48.07</v>
      </c>
      <c r="L33" s="29">
        <v>49222.56</v>
      </c>
      <c r="M33" s="17">
        <f t="shared" si="5"/>
      </c>
      <c r="N33" s="34"/>
      <c r="O33" s="29">
        <v>29.91</v>
      </c>
      <c r="P33" s="34"/>
      <c r="Q33" s="33"/>
    </row>
    <row r="34">
      <c r="A34" s="34"/>
      <c r="B34" s="34"/>
      <c r="C34" s="34"/>
      <c r="D34" s="34"/>
      <c r="E34" s="35"/>
      <c r="F34" s="34"/>
      <c r="G34" s="34"/>
      <c r="H34" s="36"/>
      <c r="I34" s="34"/>
      <c r="J34" s="34"/>
      <c r="K34" s="34"/>
      <c r="L34" s="34"/>
      <c r="M34" s="17"/>
      <c r="N34" s="34"/>
      <c r="O34" s="34"/>
      <c r="P34" s="34"/>
      <c r="Q34" s="33"/>
    </row>
    <row r="35">
      <c r="A35" s="34" t="s">
        <v>33</v>
      </c>
      <c r="B35" s="37">
        <v>16</v>
      </c>
      <c r="C35" s="26">
        <v>1</v>
      </c>
      <c r="D35" s="37">
        <v>1</v>
      </c>
      <c r="E35" s="30">
        <v>16</v>
      </c>
      <c r="F35" s="29">
        <v>3500</v>
      </c>
      <c r="G35" s="29">
        <v>1500</v>
      </c>
      <c r="H35" s="37">
        <v>160</v>
      </c>
      <c r="I35" s="37">
        <v>111</v>
      </c>
      <c r="J35" s="37">
        <v>111</v>
      </c>
      <c r="K35" s="37">
        <v>1.53</v>
      </c>
      <c r="L35" s="37">
        <v>2302.41</v>
      </c>
      <c r="M35" s="17">
        <f t="shared" ref="M35:M37" si="6">L35/E35*2</f>
      </c>
      <c r="N35" s="37">
        <v>0</v>
      </c>
      <c r="O35" s="37">
        <v>48.21</v>
      </c>
      <c r="P35" s="37" t="s">
        <v>34</v>
      </c>
      <c r="Q35" s="33"/>
    </row>
    <row r="36">
      <c r="A36" s="34"/>
      <c r="B36" s="37">
        <v>16</v>
      </c>
      <c r="C36" s="26">
        <v>1</v>
      </c>
      <c r="D36" s="37">
        <v>2</v>
      </c>
      <c r="E36" s="30">
        <v>32</v>
      </c>
      <c r="F36" s="29">
        <v>3500</v>
      </c>
      <c r="G36" s="29">
        <v>1500</v>
      </c>
      <c r="H36" s="37">
        <v>160</v>
      </c>
      <c r="I36" s="37">
        <v>159</v>
      </c>
      <c r="J36" s="37">
        <v>318</v>
      </c>
      <c r="K36" s="37">
        <v>4.91</v>
      </c>
      <c r="L36" s="37">
        <v>7363.23</v>
      </c>
      <c r="M36" s="17">
        <f t="shared" si="6"/>
      </c>
      <c r="N36" s="37">
        <v>0</v>
      </c>
      <c r="O36" s="37">
        <v>43.19</v>
      </c>
      <c r="P36" s="37"/>
      <c r="Q36" s="33"/>
    </row>
    <row r="37">
      <c r="A37" s="34"/>
      <c r="B37" s="37">
        <v>16</v>
      </c>
      <c r="C37" s="26">
        <v>1</v>
      </c>
      <c r="D37" s="37">
        <v>4</v>
      </c>
      <c r="E37" s="30">
        <v>64</v>
      </c>
      <c r="F37" s="29">
        <v>3500</v>
      </c>
      <c r="G37" s="29">
        <v>1500</v>
      </c>
      <c r="H37" s="37">
        <v>160</v>
      </c>
      <c r="I37" s="37">
        <v>183</v>
      </c>
      <c r="J37" s="37">
        <v>732</v>
      </c>
      <c r="K37" s="37">
        <v>12.12</v>
      </c>
      <c r="L37" s="37">
        <v>18179.48</v>
      </c>
      <c r="M37" s="17">
        <f t="shared" si="6"/>
      </c>
      <c r="N37" s="37">
        <v>0</v>
      </c>
      <c r="O37" s="37">
        <v>40.27</v>
      </c>
      <c r="P37" s="34"/>
      <c r="Q37" s="33"/>
    </row>
    <row customHeight="true" ht="20" r="38">
      <c r="A38" s="34"/>
      <c r="B38" s="37"/>
      <c r="C38" s="26"/>
      <c r="D38" s="37"/>
      <c r="E38" s="30"/>
      <c r="F38" s="29"/>
      <c r="G38" s="29"/>
      <c r="H38" s="37"/>
      <c r="I38" s="37"/>
      <c r="J38" s="37"/>
      <c r="K38" s="37"/>
      <c r="L38" s="37"/>
      <c r="M38" s="17"/>
      <c r="N38" s="37"/>
      <c r="O38" s="37"/>
      <c r="P38" s="34"/>
      <c r="Q38" s="33"/>
    </row>
    <row r="39">
      <c r="A39" s="34"/>
      <c r="B39" s="37">
        <v>16</v>
      </c>
      <c r="C39" s="26">
        <v>1</v>
      </c>
      <c r="D39" s="37">
        <v>1</v>
      </c>
      <c r="E39" s="30">
        <v>16</v>
      </c>
      <c r="F39" s="29">
        <v>3500</v>
      </c>
      <c r="G39" s="29">
        <v>1500</v>
      </c>
      <c r="H39" s="37">
        <v>160</v>
      </c>
      <c r="I39" s="37">
        <v>16</v>
      </c>
      <c r="J39" s="37">
        <v>16</v>
      </c>
      <c r="K39" s="37">
        <v>0.51</v>
      </c>
      <c r="L39" s="37">
        <v>767.93</v>
      </c>
      <c r="M39" s="17">
        <f t="shared" ref="M39:M41" si="7">L39/E39*2</f>
      </c>
      <c r="N39" s="37">
        <v>0</v>
      </c>
      <c r="O39" s="37">
        <v>20.84</v>
      </c>
      <c r="P39" s="34"/>
      <c r="Q39" s="33"/>
    </row>
    <row r="40">
      <c r="A40" s="34"/>
      <c r="B40" s="37">
        <v>16</v>
      </c>
      <c r="C40" s="26">
        <v>1</v>
      </c>
      <c r="D40" s="37">
        <v>2</v>
      </c>
      <c r="E40" s="30">
        <v>32</v>
      </c>
      <c r="F40" s="29">
        <v>3500</v>
      </c>
      <c r="G40" s="29">
        <v>1500</v>
      </c>
      <c r="H40" s="37">
        <v>160</v>
      </c>
      <c r="I40" s="37">
        <v>27</v>
      </c>
      <c r="J40" s="37">
        <v>54</v>
      </c>
      <c r="K40" s="37">
        <v>1.2</v>
      </c>
      <c r="L40" s="37">
        <v>1802.74</v>
      </c>
      <c r="M40" s="17">
        <f t="shared" si="7"/>
      </c>
      <c r="N40" s="37">
        <v>0</v>
      </c>
      <c r="O40" s="37">
        <v>29.95</v>
      </c>
      <c r="P40" s="34"/>
      <c r="Q40" s="33"/>
    </row>
    <row r="41">
      <c r="A41" s="34"/>
      <c r="B41" s="37">
        <v>16</v>
      </c>
      <c r="C41" s="26">
        <v>1</v>
      </c>
      <c r="D41" s="37">
        <v>4</v>
      </c>
      <c r="E41" s="30">
        <v>64</v>
      </c>
      <c r="F41" s="29">
        <v>3500</v>
      </c>
      <c r="G41" s="29">
        <v>1500</v>
      </c>
      <c r="H41" s="37">
        <v>160</v>
      </c>
      <c r="I41" s="37">
        <v>80</v>
      </c>
      <c r="J41" s="37">
        <v>320</v>
      </c>
      <c r="K41" s="37">
        <v>7.18</v>
      </c>
      <c r="L41" s="37">
        <v>10774.78</v>
      </c>
      <c r="M41" s="17">
        <f t="shared" si="7"/>
      </c>
      <c r="N41" s="37">
        <v>0</v>
      </c>
      <c r="O41" s="37">
        <v>29.7</v>
      </c>
      <c r="P41" s="34"/>
      <c r="Q41" s="33"/>
    </row>
    <row customHeight="true" ht="20" r="42">
      <c r="A42" s="34"/>
      <c r="B42" s="37"/>
      <c r="C42" s="26"/>
      <c r="D42" s="37"/>
      <c r="E42" s="30"/>
      <c r="F42" s="29"/>
      <c r="G42" s="29"/>
      <c r="H42" s="37"/>
      <c r="I42" s="37"/>
      <c r="J42" s="37"/>
      <c r="K42" s="37"/>
      <c r="L42" s="37"/>
      <c r="M42" s="17"/>
      <c r="N42" s="37"/>
      <c r="O42" s="37"/>
      <c r="P42" s="37"/>
      <c r="Q42" s="33"/>
    </row>
    <row r="43">
      <c r="A43" s="34"/>
      <c r="B43" s="37">
        <v>16</v>
      </c>
      <c r="C43" s="26">
        <v>1</v>
      </c>
      <c r="D43" s="37">
        <v>1</v>
      </c>
      <c r="E43" s="30">
        <v>16</v>
      </c>
      <c r="F43" s="29">
        <v>4096</v>
      </c>
      <c r="G43" s="29">
        <v>1024</v>
      </c>
      <c r="H43" s="37">
        <v>160</v>
      </c>
      <c r="I43" s="37">
        <v>103</v>
      </c>
      <c r="J43" s="37">
        <v>103</v>
      </c>
      <c r="K43" s="37">
        <v>2.1</v>
      </c>
      <c r="L43" s="37">
        <v>2145.94</v>
      </c>
      <c r="M43" s="17">
        <f t="shared" ref="M43:M45" si="8">L43/E43*2</f>
      </c>
      <c r="N43" s="37">
        <v>0</v>
      </c>
      <c r="O43" s="37">
        <v>48</v>
      </c>
      <c r="P43" s="37"/>
      <c r="Q43" s="33"/>
    </row>
    <row r="44">
      <c r="A44" s="34"/>
      <c r="B44" s="37">
        <v>16</v>
      </c>
      <c r="C44" s="26">
        <v>1</v>
      </c>
      <c r="D44" s="37">
        <v>2</v>
      </c>
      <c r="E44" s="30">
        <v>32</v>
      </c>
      <c r="F44" s="29">
        <v>4096</v>
      </c>
      <c r="G44" s="29">
        <v>1024</v>
      </c>
      <c r="H44" s="37">
        <v>160</v>
      </c>
      <c r="I44" s="37">
        <v>143</v>
      </c>
      <c r="J44" s="37">
        <v>286</v>
      </c>
      <c r="K44" s="37">
        <v>6.6</v>
      </c>
      <c r="L44" s="37">
        <v>6755.25</v>
      </c>
      <c r="M44" s="17">
        <f t="shared" si="8"/>
      </c>
      <c r="N44" s="37">
        <v>0</v>
      </c>
      <c r="O44" s="37">
        <v>42.34</v>
      </c>
      <c r="P44" s="37"/>
      <c r="Q44" s="33"/>
    </row>
    <row r="45">
      <c r="A45" s="34"/>
      <c r="B45" s="37">
        <v>16</v>
      </c>
      <c r="C45" s="26">
        <v>1</v>
      </c>
      <c r="D45" s="37">
        <v>4</v>
      </c>
      <c r="E45" s="30">
        <v>16</v>
      </c>
      <c r="F45" s="29">
        <v>4096</v>
      </c>
      <c r="G45" s="29">
        <v>1024</v>
      </c>
      <c r="H45" s="37">
        <v>160</v>
      </c>
      <c r="I45" s="37">
        <v>167</v>
      </c>
      <c r="J45" s="37">
        <v>668</v>
      </c>
      <c r="K45" s="37">
        <v>16.5</v>
      </c>
      <c r="L45" s="37">
        <v>16894.27</v>
      </c>
      <c r="M45" s="17">
        <f t="shared" si="8"/>
      </c>
      <c r="N45" s="37">
        <v>0</v>
      </c>
      <c r="O45" s="37">
        <v>39.54</v>
      </c>
      <c r="P45" s="34"/>
      <c r="Q45" s="33"/>
    </row>
    <row customHeight="true" ht="20" r="46">
      <c r="A46" s="34"/>
      <c r="B46" s="37"/>
      <c r="C46" s="26"/>
      <c r="D46" s="37"/>
      <c r="E46" s="30"/>
      <c r="F46" s="29"/>
      <c r="G46" s="29"/>
      <c r="H46" s="37"/>
      <c r="I46" s="37"/>
      <c r="J46" s="37"/>
      <c r="K46" s="37"/>
      <c r="L46" s="37"/>
      <c r="M46" s="17"/>
      <c r="N46" s="37"/>
      <c r="O46" s="37"/>
      <c r="P46" s="34"/>
      <c r="Q46" s="33"/>
    </row>
    <row r="47">
      <c r="A47" s="34"/>
      <c r="B47" s="37">
        <v>16</v>
      </c>
      <c r="C47" s="26">
        <v>1</v>
      </c>
      <c r="D47" s="37">
        <v>1</v>
      </c>
      <c r="E47" s="30">
        <v>16</v>
      </c>
      <c r="F47" s="29">
        <v>4096</v>
      </c>
      <c r="G47" s="29">
        <v>1024</v>
      </c>
      <c r="H47" s="37">
        <v>160</v>
      </c>
      <c r="I47" s="37">
        <v>16</v>
      </c>
      <c r="J47" s="37">
        <v>16</v>
      </c>
      <c r="K47" s="37">
        <v>0.75</v>
      </c>
      <c r="L47" s="37">
        <v>764.87</v>
      </c>
      <c r="M47" s="17">
        <f t="shared" ref="M47:M49" si="9">L47/E47*2</f>
      </c>
      <c r="N47" s="37">
        <v>0</v>
      </c>
      <c r="O47" s="37">
        <v>20.92</v>
      </c>
      <c r="P47" s="34"/>
      <c r="Q47" s="33"/>
    </row>
    <row r="48">
      <c r="A48" s="34"/>
      <c r="B48" s="37">
        <v>16</v>
      </c>
      <c r="C48" s="26">
        <v>1</v>
      </c>
      <c r="D48" s="37">
        <v>2</v>
      </c>
      <c r="E48" s="30">
        <v>32</v>
      </c>
      <c r="F48" s="29">
        <v>4096</v>
      </c>
      <c r="G48" s="29">
        <v>1024</v>
      </c>
      <c r="H48" s="37">
        <v>160</v>
      </c>
      <c r="I48" s="37">
        <v>26</v>
      </c>
      <c r="J48" s="37">
        <v>52</v>
      </c>
      <c r="K48" s="37">
        <v>1.69</v>
      </c>
      <c r="L48" s="37">
        <v>1733.5</v>
      </c>
      <c r="M48" s="17">
        <f t="shared" si="9"/>
      </c>
      <c r="N48" s="37">
        <v>0</v>
      </c>
      <c r="O48" s="37">
        <v>30</v>
      </c>
      <c r="P48" s="34"/>
      <c r="Q48" s="33"/>
    </row>
    <row r="49">
      <c r="A49" s="34"/>
      <c r="B49" s="37">
        <v>16</v>
      </c>
      <c r="C49" s="26">
        <v>1</v>
      </c>
      <c r="D49" s="37">
        <v>4</v>
      </c>
      <c r="E49" s="30">
        <v>64</v>
      </c>
      <c r="F49" s="29">
        <v>4096</v>
      </c>
      <c r="G49" s="29">
        <v>1024</v>
      </c>
      <c r="H49" s="37">
        <v>160</v>
      </c>
      <c r="I49" s="37">
        <v>76</v>
      </c>
      <c r="J49" s="37">
        <v>304</v>
      </c>
      <c r="K49" s="37">
        <v>9.92</v>
      </c>
      <c r="L49" s="37">
        <v>10162.22</v>
      </c>
      <c r="M49" s="17">
        <f t="shared" si="9"/>
      </c>
      <c r="N49" s="37">
        <v>0</v>
      </c>
      <c r="O49" s="37">
        <v>29.91</v>
      </c>
      <c r="P49" s="34"/>
      <c r="Q49" s="33"/>
    </row>
    <row r="50">
      <c r="A50" s="33"/>
      <c r="B50" s="33"/>
      <c r="C50" s="33"/>
      <c r="D50" s="33"/>
      <c r="E50" s="33"/>
      <c r="F50" s="38"/>
      <c r="G50" s="38"/>
      <c r="H50" s="33"/>
      <c r="I50" s="33"/>
      <c r="J50" s="33"/>
      <c r="K50" s="33"/>
      <c r="L50" s="33"/>
      <c r="M50" s="33"/>
      <c r="N50" s="33"/>
      <c r="O50" s="33"/>
      <c r="P50" s="33"/>
    </row>
    <row r="51"/>
    <row r="52"/>
    <row r="53"/>
    <row r="54"/>
    <row r="55"/>
    <row r="56"/>
    <row r="57">
      <c r="A57" s="39" t="s">
        <v>35</v>
      </c>
      <c r="B57" s="39">
        <v>1</v>
      </c>
      <c r="C57" s="39">
        <v>1</v>
      </c>
      <c r="D57" s="39">
        <v>16</v>
      </c>
      <c r="E57" s="39">
        <v>16</v>
      </c>
      <c r="F57" s="39">
        <v>8192</v>
      </c>
      <c r="G57" s="39">
        <v>1024</v>
      </c>
      <c r="H57" s="39">
        <v>120</v>
      </c>
      <c r="J57" s="39">
        <v>740</v>
      </c>
      <c r="K57" s="39">
        <v>13.17</v>
      </c>
      <c r="L57" s="39">
        <v>13485.54</v>
      </c>
      <c r="M57" s="39"/>
      <c r="N57" s="39">
        <v>10104.9</v>
      </c>
      <c r="O57" s="39">
        <v>45.1</v>
      </c>
    </row>
    <row r="58">
      <c r="A58" s="39" t="s">
        <v>36</v>
      </c>
      <c r="B58" s="39">
        <v>1</v>
      </c>
      <c r="C58" s="39">
        <v>1</v>
      </c>
      <c r="D58" s="39">
        <v>16</v>
      </c>
      <c r="E58" s="39">
        <v>16</v>
      </c>
      <c r="F58" s="39">
        <v>8192</v>
      </c>
      <c r="G58" s="39">
        <v>1024</v>
      </c>
      <c r="H58" s="39">
        <v>120</v>
      </c>
      <c r="I58" s="39">
        <v>85</v>
      </c>
      <c r="J58" s="39">
        <v>1360</v>
      </c>
      <c r="K58" s="39">
        <v>26.62</v>
      </c>
      <c r="L58" s="39">
        <v>27262.26</v>
      </c>
      <c r="M58" s="40"/>
      <c r="N58" s="39">
        <v>0</v>
      </c>
      <c r="O58" s="39">
        <v>49.89</v>
      </c>
      <c r="P58" s="39" t="s">
        <v>37</v>
      </c>
    </row>
    <row r="59">
      <c r="A59" s="39" t="s">
        <v>38</v>
      </c>
      <c r="B59" s="39">
        <v>1</v>
      </c>
      <c r="C59" s="39">
        <v>1</v>
      </c>
      <c r="D59" s="39">
        <v>16</v>
      </c>
      <c r="E59" s="39">
        <v>16</v>
      </c>
      <c r="F59" s="39">
        <v>8192</v>
      </c>
      <c r="G59" s="39">
        <v>1024</v>
      </c>
      <c r="H59" s="39">
        <v>120</v>
      </c>
      <c r="I59" s="39">
        <v>126</v>
      </c>
      <c r="J59" s="39">
        <v>2016</v>
      </c>
      <c r="K59" s="39">
        <v>39.54</v>
      </c>
      <c r="L59" s="39">
        <v>40486.84</v>
      </c>
      <c r="M59" s="40"/>
      <c r="N59" s="39">
        <v>0</v>
      </c>
      <c r="O59" s="39">
        <v>49.79</v>
      </c>
      <c r="P59" s="39" t="s">
        <v>39</v>
      </c>
    </row>
    <row r="60">
      <c r="M60" s="33"/>
    </row>
  </sheetData>
  <mergeCells>
    <mergeCell ref="F1:F2"/>
    <mergeCell ref="G1:G2"/>
    <mergeCell ref="A1:A2"/>
    <mergeCell ref="B1:E1"/>
    <mergeCell ref="M1:M2"/>
    <mergeCell ref="O1:O2"/>
    <mergeCell ref="P1:P2"/>
    <mergeCell ref="N1:N2"/>
    <mergeCell ref="L1:L2"/>
    <mergeCell ref="K1:K2"/>
    <mergeCell ref="J1:J2"/>
    <mergeCell ref="I1:I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